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6E06860-2519-4284-A6F9-86910EDCCF27}" xr6:coauthVersionLast="47" xr6:coauthVersionMax="47" xr10:uidLastSave="{00000000-0000-0000-0000-000000000000}"/>
  <bookViews>
    <workbookView xWindow="11424" yWindow="0" windowWidth="11712" windowHeight="12336" xr2:uid="{40AA2723-9242-4E58-BCF4-65EC28729D30}"/>
  </bookViews>
  <sheets>
    <sheet name="Sprint 1" sheetId="1" r:id="rId1"/>
    <sheet name="Sprint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G5" i="3"/>
  <c r="G21" i="3"/>
  <c r="D32" i="3"/>
  <c r="H21" i="3" s="1"/>
  <c r="C32" i="3"/>
  <c r="D16" i="3"/>
  <c r="C16" i="3"/>
  <c r="H16" i="1"/>
  <c r="G16" i="1"/>
  <c r="D22" i="1"/>
  <c r="C22" i="1"/>
  <c r="D11" i="1"/>
  <c r="C11" i="1"/>
</calcChain>
</file>

<file path=xl/sharedStrings.xml><?xml version="1.0" encoding="utf-8"?>
<sst xmlns="http://schemas.openxmlformats.org/spreadsheetml/2006/main" count="86" uniqueCount="34">
  <si>
    <t>Sprint Backlog (Sprint 1)</t>
  </si>
  <si>
    <t>Tareas</t>
  </si>
  <si>
    <t>#HU</t>
  </si>
  <si>
    <t>D</t>
  </si>
  <si>
    <t>L</t>
  </si>
  <si>
    <t>Tiempo Previsto</t>
  </si>
  <si>
    <t>Domingo</t>
  </si>
  <si>
    <t>Lunes</t>
  </si>
  <si>
    <t>Implementar el formulario para añadir una tarea (título y descripción).</t>
  </si>
  <si>
    <t>Crear la API para guardar las tareas en el backend.</t>
  </si>
  <si>
    <t>Implementar el botón "Añadir Tarea" y conectar con la API.</t>
  </si>
  <si>
    <t>Asegurar que las tareas añadidas se muestren en la columna "To Do".</t>
  </si>
  <si>
    <t>Desarrollar la funcionalidad para obtener y mostrar tareas agrupadas por estado .</t>
  </si>
  <si>
    <t>Realizar pruebas de la funcionalidad de añadir tareas.</t>
  </si>
  <si>
    <t>Total</t>
  </si>
  <si>
    <t>-</t>
  </si>
  <si>
    <t>1,2</t>
  </si>
  <si>
    <r>
      <rPr>
        <b/>
        <sz val="11"/>
        <color theme="1"/>
        <rFont val="Aptos Narrow"/>
        <family val="2"/>
        <scheme val="minor"/>
      </rPr>
      <t>Objetivo:</t>
    </r>
    <r>
      <rPr>
        <sz val="11"/>
        <color theme="1"/>
        <rFont val="Aptos Narrow"/>
        <family val="2"/>
        <scheme val="minor"/>
      </rPr>
      <t xml:space="preserve"> Implementar la funcionalidad básica de añadir tareas y organizarlas por estado en la aplicación de gestión de tareas.</t>
    </r>
  </si>
  <si>
    <t>Entrega</t>
  </si>
  <si>
    <r>
      <rPr>
        <b/>
        <sz val="11"/>
        <color theme="1"/>
        <rFont val="Aptos Narrow"/>
        <family val="2"/>
        <scheme val="minor"/>
      </rPr>
      <t>Objetivo:</t>
    </r>
    <r>
      <rPr>
        <sz val="11"/>
        <color theme="1"/>
        <rFont val="Aptos Narrow"/>
        <family val="2"/>
        <scheme val="minor"/>
      </rPr>
      <t xml:space="preserve"> Mejorar la funcionalidad de la aplicación permitiendo cambiar el estado de las tareas, eliminarlas y visualizar información detallada.</t>
    </r>
  </si>
  <si>
    <t>* Estimado</t>
  </si>
  <si>
    <t>* Real</t>
  </si>
  <si>
    <r>
      <t xml:space="preserve">Implementar las columnas </t>
    </r>
    <r>
      <rPr>
        <b/>
        <sz val="11"/>
        <color theme="1"/>
        <rFont val="Aptos Narrow"/>
        <family val="2"/>
        <scheme val="minor"/>
      </rPr>
      <t>To Do, In Progress, Completed</t>
    </r>
    <r>
      <rPr>
        <sz val="11"/>
        <color theme="1"/>
        <rFont val="Aptos Narrow"/>
        <family val="2"/>
        <scheme val="minor"/>
      </rPr>
      <t xml:space="preserve"> en la interfaz.</t>
    </r>
  </si>
  <si>
    <r>
      <t xml:space="preserve">Permitir mover tareas entre columnas mediante </t>
    </r>
    <r>
      <rPr>
        <b/>
        <sz val="11"/>
        <color theme="1"/>
        <rFont val="Aptos Narrow"/>
        <family val="2"/>
        <scheme val="minor"/>
      </rPr>
      <t>drag-and-drop</t>
    </r>
    <r>
      <rPr>
        <sz val="11"/>
        <color theme="1"/>
        <rFont val="Aptos Narrow"/>
        <family val="2"/>
        <scheme val="minor"/>
      </rPr>
      <t>.</t>
    </r>
  </si>
  <si>
    <t>Desarrollar la API para actualizar el estado de una tarea en el backend.</t>
  </si>
  <si>
    <t>Validar la correcta visualización de tareas en las columnas.</t>
  </si>
  <si>
    <t>Testear la interacción de arrastrar y soltar tareas.</t>
  </si>
  <si>
    <t>Implementar la funcionalidad de eliminación de tareas.</t>
  </si>
  <si>
    <t>Desarrollar la API para eliminar tareas desde el backend.</t>
  </si>
  <si>
    <t>Asegurar que el título y la descripción de cada tarea se visualicen correctamente.</t>
  </si>
  <si>
    <t>Realizar pruebas de integración entre frontend y backend.</t>
  </si>
  <si>
    <t>Mejorar la organización visual de las tareas.</t>
  </si>
  <si>
    <t>1,2,3,4,5</t>
  </si>
  <si>
    <t>Sprint Backlog (Sprint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</si>
</sst>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b="1"/>
              <a:t>BURNDOWN CHART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493943813258113E-2"/>
                  <c:y val="-7.31439754921850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16-460D-8F37-5776E727D4FF}"/>
                </c:ext>
              </c:extLst>
            </c:dLbl>
            <c:dLbl>
              <c:idx val="1"/>
              <c:layout>
                <c:manualLayout>
                  <c:x val="-6.3694535896114832E-2"/>
                  <c:y val="5.48545613546839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16-460D-8F37-5776E727D4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1'!$G$15:$I$15</c:f>
              <c:strCache>
                <c:ptCount val="3"/>
                <c:pt idx="0">
                  <c:v>Domingo</c:v>
                </c:pt>
                <c:pt idx="1">
                  <c:v>Lunes</c:v>
                </c:pt>
                <c:pt idx="2">
                  <c:v>Entrega</c:v>
                </c:pt>
              </c:strCache>
            </c:strRef>
          </c:cat>
          <c:val>
            <c:numRef>
              <c:f>'Sprint 1'!$G$5:$I$5</c:f>
              <c:numCache>
                <c:formatCode>General</c:formatCode>
                <c:ptCount val="3"/>
                <c:pt idx="0">
                  <c:v>20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6-460D-8F37-5776E727D4FF}"/>
            </c:ext>
          </c:extLst>
        </c:ser>
        <c:ser>
          <c:idx val="1"/>
          <c:order val="1"/>
          <c:tx>
            <c:v>Real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500746653159985E-2"/>
                  <c:y val="5.71670201539982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16-460D-8F37-5776E727D4FF}"/>
                </c:ext>
              </c:extLst>
            </c:dLbl>
            <c:dLbl>
              <c:idx val="1"/>
              <c:layout>
                <c:manualLayout>
                  <c:x val="-3.094397044825388E-2"/>
                  <c:y val="-6.1670608371439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16-460D-8F37-5776E727D4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1'!$G$15:$I$15</c:f>
              <c:strCache>
                <c:ptCount val="3"/>
                <c:pt idx="0">
                  <c:v>Domingo</c:v>
                </c:pt>
                <c:pt idx="1">
                  <c:v>Lunes</c:v>
                </c:pt>
                <c:pt idx="2">
                  <c:v>Entrega</c:v>
                </c:pt>
              </c:strCache>
            </c:strRef>
          </c:cat>
          <c:val>
            <c:numRef>
              <c:f>'Sprint 1'!$G$16:$I$16</c:f>
              <c:numCache>
                <c:formatCode>General</c:formatCode>
                <c:ptCount val="3"/>
                <c:pt idx="0">
                  <c:v>19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16-460D-8F37-5776E727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265568"/>
        <c:axId val="1328266048"/>
      </c:lineChart>
      <c:catAx>
        <c:axId val="132826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>
                    <a:solidFill>
                      <a:sysClr val="windowText" lastClr="000000"/>
                    </a:solidFill>
                  </a:rPr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28266048"/>
        <c:crosses val="autoZero"/>
        <c:auto val="1"/>
        <c:lblAlgn val="ctr"/>
        <c:lblOffset val="100"/>
        <c:noMultiLvlLbl val="0"/>
      </c:catAx>
      <c:valAx>
        <c:axId val="13282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>
                    <a:solidFill>
                      <a:sysClr val="windowText" lastClr="000000"/>
                    </a:solidFill>
                  </a:rPr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2826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b="1"/>
              <a:t>BURNDOWN CHART SPRINT </a:t>
            </a:r>
            <a:r>
              <a:rPr lang="es-EC" b="1" baseline="0"/>
              <a:t> 2</a:t>
            </a:r>
            <a:endParaRPr lang="es-EC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183635421538173E-2"/>
                  <c:y val="-2.0324273055891983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6A-4AAA-9557-440614A81ACE}"/>
                </c:ext>
              </c:extLst>
            </c:dLbl>
            <c:dLbl>
              <c:idx val="1"/>
              <c:layout>
                <c:manualLayout>
                  <c:x val="-6.3694535896114832E-2"/>
                  <c:y val="5.48545613546839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6A-4AAA-9557-440614A81A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2'!$G$20:$I$20</c:f>
              <c:strCache>
                <c:ptCount val="3"/>
                <c:pt idx="0">
                  <c:v>Domingo</c:v>
                </c:pt>
                <c:pt idx="1">
                  <c:v>Lunes</c:v>
                </c:pt>
                <c:pt idx="2">
                  <c:v>Entrega</c:v>
                </c:pt>
              </c:strCache>
            </c:strRef>
          </c:cat>
          <c:val>
            <c:numRef>
              <c:f>'Sprint 2'!$G$5:$I$5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A-4AAA-9557-440614A81ACE}"/>
            </c:ext>
          </c:extLst>
        </c:ser>
        <c:ser>
          <c:idx val="1"/>
          <c:order val="1"/>
          <c:tx>
            <c:v>Real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4349881129556696E-2"/>
                  <c:y val="6.24812650903664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6A-4AAA-9557-440614A81ACE}"/>
                </c:ext>
              </c:extLst>
            </c:dLbl>
            <c:dLbl>
              <c:idx val="1"/>
              <c:layout>
                <c:manualLayout>
                  <c:x val="2.3911732687644804E-2"/>
                  <c:y val="-4.394683437341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6A-4AAA-9557-440614A81ACE}"/>
                </c:ext>
              </c:extLst>
            </c:dLbl>
            <c:dLbl>
              <c:idx val="2"/>
              <c:layout>
                <c:manualLayout>
                  <c:x val="1.6630049708678346E-2"/>
                  <c:y val="-5.2847072437656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6A-4AAA-9557-440614A81A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2'!$G$20:$I$20</c:f>
              <c:strCache>
                <c:ptCount val="3"/>
                <c:pt idx="0">
                  <c:v>Domingo</c:v>
                </c:pt>
                <c:pt idx="1">
                  <c:v>Lunes</c:v>
                </c:pt>
                <c:pt idx="2">
                  <c:v>Entrega</c:v>
                </c:pt>
              </c:strCache>
            </c:strRef>
          </c:cat>
          <c:val>
            <c:numRef>
              <c:f>'Sprint 2'!$G$21:$I$21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6A-4AAA-9557-440614A8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265568"/>
        <c:axId val="1328266048"/>
      </c:lineChart>
      <c:catAx>
        <c:axId val="132826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>
                    <a:solidFill>
                      <a:sysClr val="windowText" lastClr="000000"/>
                    </a:solidFill>
                  </a:rPr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28266048"/>
        <c:crosses val="autoZero"/>
        <c:auto val="1"/>
        <c:lblAlgn val="ctr"/>
        <c:lblOffset val="100"/>
        <c:noMultiLvlLbl val="0"/>
      </c:catAx>
      <c:valAx>
        <c:axId val="13282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>
                    <a:solidFill>
                      <a:sysClr val="windowText" lastClr="000000"/>
                    </a:solidFill>
                  </a:rPr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2826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3395663</xdr:colOff>
      <xdr:row>25</xdr:row>
      <xdr:rowOff>80963</xdr:rowOff>
    </xdr:from>
    <xdr:to>
      <xdr:col>6</xdr:col>
      <xdr:colOff>442913</xdr:colOff>
      <xdr:row>40</xdr:row>
      <xdr:rowOff>109538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EF4DB2-5623-5E8D-40DC-CFECF755B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3432666</xdr:colOff>
      <xdr:row>35</xdr:row>
      <xdr:rowOff>53261</xdr:rowOff>
    </xdr:from>
    <xdr:to>
      <xdr:col>6</xdr:col>
      <xdr:colOff>479916</xdr:colOff>
      <xdr:row>50</xdr:row>
      <xdr:rowOff>81837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A9EBD2-1CE7-4207-8980-23B9112BB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A1BF-B061-4111-895B-DDC5E0549E15}">
  <dimension ref="A1:I22"/>
  <sheetViews>
    <sheetView tabSelected="1" zoomScale="66" zoomScaleNormal="70" workbookViewId="0">
      <selection activeCell="H22" sqref="H22"/>
    </sheetView>
  </sheetViews>
  <sheetFormatPr baseColWidth="10" defaultRowHeight="14.4" x14ac:dyDescent="0.3"/>
  <cols>
    <col min="1" max="1" width="66.33203125" bestFit="1" customWidth="1"/>
    <col min="2" max="4" width="5.5546875" customWidth="1"/>
    <col min="6" max="6" width="15.109375" bestFit="1" customWidth="1"/>
  </cols>
  <sheetData>
    <row r="1" spans="1:9" x14ac:dyDescent="0.3">
      <c r="A1" s="8" t="s">
        <v>0</v>
      </c>
      <c r="B1" s="8"/>
      <c r="C1" s="8"/>
      <c r="D1" s="8"/>
    </row>
    <row r="2" spans="1:9" ht="28.8" customHeight="1" x14ac:dyDescent="0.3">
      <c r="A2" s="9" t="s">
        <v>17</v>
      </c>
      <c r="B2" s="9"/>
      <c r="C2" s="9"/>
      <c r="D2" s="9"/>
    </row>
    <row r="3" spans="1:9" x14ac:dyDescent="0.3">
      <c r="A3" s="7" t="s">
        <v>20</v>
      </c>
    </row>
    <row r="4" spans="1:9" x14ac:dyDescent="0.3">
      <c r="A4" s="14" t="s">
        <v>1</v>
      </c>
      <c r="B4" s="14" t="s">
        <v>2</v>
      </c>
      <c r="C4" s="14" t="s">
        <v>3</v>
      </c>
      <c r="D4" s="14" t="s">
        <v>4</v>
      </c>
      <c r="F4" s="3" t="s">
        <v>5</v>
      </c>
      <c r="G4" s="3" t="s">
        <v>6</v>
      </c>
      <c r="H4" s="3" t="s">
        <v>7</v>
      </c>
      <c r="I4" s="3" t="s">
        <v>18</v>
      </c>
    </row>
    <row r="5" spans="1:9" x14ac:dyDescent="0.3">
      <c r="A5" s="1" t="s">
        <v>8</v>
      </c>
      <c r="B5" s="2">
        <v>1</v>
      </c>
      <c r="C5" s="2">
        <v>3</v>
      </c>
      <c r="D5" s="2">
        <v>3</v>
      </c>
      <c r="F5" s="2">
        <v>35</v>
      </c>
      <c r="G5" s="2">
        <v>20</v>
      </c>
      <c r="H5" s="10">
        <v>15</v>
      </c>
      <c r="I5" s="11">
        <v>0</v>
      </c>
    </row>
    <row r="6" spans="1:9" x14ac:dyDescent="0.3">
      <c r="A6" s="1" t="s">
        <v>9</v>
      </c>
      <c r="B6" s="2">
        <v>1</v>
      </c>
      <c r="C6" s="2">
        <v>4</v>
      </c>
      <c r="D6" s="2">
        <v>3</v>
      </c>
    </row>
    <row r="7" spans="1:9" x14ac:dyDescent="0.3">
      <c r="A7" s="1" t="s">
        <v>10</v>
      </c>
      <c r="B7" s="2">
        <v>1</v>
      </c>
      <c r="C7" s="2">
        <v>2</v>
      </c>
      <c r="D7" s="2">
        <v>3</v>
      </c>
    </row>
    <row r="8" spans="1:9" x14ac:dyDescent="0.3">
      <c r="A8" s="4" t="s">
        <v>11</v>
      </c>
      <c r="B8" s="2">
        <v>2</v>
      </c>
      <c r="C8" s="2">
        <v>3</v>
      </c>
      <c r="D8" s="2">
        <v>2</v>
      </c>
    </row>
    <row r="9" spans="1:9" x14ac:dyDescent="0.3">
      <c r="A9" s="5" t="s">
        <v>12</v>
      </c>
      <c r="B9" s="2">
        <v>2</v>
      </c>
      <c r="C9" s="2">
        <v>5</v>
      </c>
      <c r="D9" s="2">
        <v>2</v>
      </c>
    </row>
    <row r="10" spans="1:9" x14ac:dyDescent="0.3">
      <c r="A10" s="5" t="s">
        <v>13</v>
      </c>
      <c r="B10" s="2" t="s">
        <v>16</v>
      </c>
      <c r="C10" s="2">
        <v>3</v>
      </c>
      <c r="D10" s="2">
        <v>2</v>
      </c>
    </row>
    <row r="11" spans="1:9" x14ac:dyDescent="0.3">
      <c r="A11" s="16" t="s">
        <v>14</v>
      </c>
      <c r="B11" s="17" t="s">
        <v>15</v>
      </c>
      <c r="C11" s="17">
        <f>SUM(C5:C10)</f>
        <v>20</v>
      </c>
      <c r="D11" s="17">
        <f>SUM(D5:D10)</f>
        <v>15</v>
      </c>
    </row>
    <row r="12" spans="1:9" x14ac:dyDescent="0.3">
      <c r="A12" s="12"/>
      <c r="B12" s="13"/>
      <c r="C12" s="13"/>
      <c r="D12" s="13"/>
    </row>
    <row r="14" spans="1:9" x14ac:dyDescent="0.3">
      <c r="A14" s="7" t="s">
        <v>21</v>
      </c>
    </row>
    <row r="15" spans="1:9" x14ac:dyDescent="0.3">
      <c r="A15" s="14" t="s">
        <v>1</v>
      </c>
      <c r="B15" s="14" t="s">
        <v>2</v>
      </c>
      <c r="C15" s="14" t="s">
        <v>3</v>
      </c>
      <c r="D15" s="14" t="s">
        <v>4</v>
      </c>
      <c r="F15" s="3" t="s">
        <v>5</v>
      </c>
      <c r="G15" s="3" t="s">
        <v>6</v>
      </c>
      <c r="H15" s="6" t="s">
        <v>7</v>
      </c>
      <c r="I15" s="6" t="s">
        <v>18</v>
      </c>
    </row>
    <row r="16" spans="1:9" x14ac:dyDescent="0.3">
      <c r="A16" s="1" t="s">
        <v>8</v>
      </c>
      <c r="B16" s="2">
        <v>1</v>
      </c>
      <c r="C16" s="2">
        <v>3</v>
      </c>
      <c r="D16" s="2">
        <v>2</v>
      </c>
      <c r="F16" s="2">
        <v>35</v>
      </c>
      <c r="G16" s="2">
        <f>C22</f>
        <v>19</v>
      </c>
      <c r="H16" s="10">
        <f>D22</f>
        <v>16</v>
      </c>
      <c r="I16" s="11">
        <v>0</v>
      </c>
    </row>
    <row r="17" spans="1:4" x14ac:dyDescent="0.3">
      <c r="A17" s="1" t="s">
        <v>9</v>
      </c>
      <c r="B17" s="2">
        <v>1</v>
      </c>
      <c r="C17" s="2">
        <v>3</v>
      </c>
      <c r="D17" s="2">
        <v>3</v>
      </c>
    </row>
    <row r="18" spans="1:4" x14ac:dyDescent="0.3">
      <c r="A18" s="1" t="s">
        <v>10</v>
      </c>
      <c r="B18" s="2">
        <v>1</v>
      </c>
      <c r="C18" s="2">
        <v>2</v>
      </c>
      <c r="D18" s="2">
        <v>2</v>
      </c>
    </row>
    <row r="19" spans="1:4" x14ac:dyDescent="0.3">
      <c r="A19" s="4" t="s">
        <v>11</v>
      </c>
      <c r="B19" s="2">
        <v>2</v>
      </c>
      <c r="C19" s="2">
        <v>4</v>
      </c>
      <c r="D19" s="2">
        <v>2</v>
      </c>
    </row>
    <row r="20" spans="1:4" x14ac:dyDescent="0.3">
      <c r="A20" s="5" t="s">
        <v>12</v>
      </c>
      <c r="B20" s="2">
        <v>2</v>
      </c>
      <c r="C20" s="2">
        <v>4</v>
      </c>
      <c r="D20" s="2">
        <v>3</v>
      </c>
    </row>
    <row r="21" spans="1:4" x14ac:dyDescent="0.3">
      <c r="A21" s="5" t="s">
        <v>13</v>
      </c>
      <c r="B21" s="2" t="s">
        <v>16</v>
      </c>
      <c r="C21" s="2">
        <v>3</v>
      </c>
      <c r="D21" s="2">
        <v>4</v>
      </c>
    </row>
    <row r="22" spans="1:4" x14ac:dyDescent="0.3">
      <c r="A22" s="16" t="s">
        <v>14</v>
      </c>
      <c r="B22" s="17" t="s">
        <v>15</v>
      </c>
      <c r="C22" s="17">
        <f>SUM(C16:C21)</f>
        <v>19</v>
      </c>
      <c r="D22" s="17">
        <f>SUM(D16:D21)</f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69E1-11AF-4C1C-BBD1-F2C866914082}">
  <dimension ref="A1:I32"/>
  <sheetViews>
    <sheetView zoomScale="65" zoomScaleNormal="70" workbookViewId="0">
      <selection activeCell="D32" sqref="D32"/>
    </sheetView>
  </sheetViews>
  <sheetFormatPr baseColWidth="10" defaultRowHeight="14.4" x14ac:dyDescent="0.3"/>
  <cols>
    <col min="1" max="1" width="66.33203125" bestFit="1" customWidth="1"/>
    <col min="2" max="2" width="8.21875" bestFit="1" customWidth="1"/>
    <col min="3" max="4" width="5.5546875" customWidth="1"/>
    <col min="6" max="6" width="15.109375" bestFit="1" customWidth="1"/>
  </cols>
  <sheetData>
    <row r="1" spans="1:9" x14ac:dyDescent="0.3">
      <c r="A1" s="8" t="s">
        <v>33</v>
      </c>
      <c r="B1" s="8"/>
      <c r="C1" s="8"/>
      <c r="D1" s="8"/>
    </row>
    <row r="2" spans="1:9" ht="28.8" customHeight="1" x14ac:dyDescent="0.3">
      <c r="A2" s="9" t="s">
        <v>19</v>
      </c>
      <c r="B2" s="9"/>
      <c r="C2" s="9"/>
      <c r="D2" s="9"/>
    </row>
    <row r="3" spans="1:9" x14ac:dyDescent="0.3">
      <c r="A3" s="7" t="s">
        <v>20</v>
      </c>
    </row>
    <row r="4" spans="1:9" x14ac:dyDescent="0.3">
      <c r="A4" s="14" t="s">
        <v>1</v>
      </c>
      <c r="B4" s="14" t="s">
        <v>2</v>
      </c>
      <c r="C4" s="14" t="s">
        <v>3</v>
      </c>
      <c r="D4" s="14" t="s">
        <v>4</v>
      </c>
      <c r="F4" s="3" t="s">
        <v>5</v>
      </c>
      <c r="G4" s="3" t="s">
        <v>6</v>
      </c>
      <c r="H4" s="6" t="s">
        <v>7</v>
      </c>
      <c r="I4" s="6" t="s">
        <v>18</v>
      </c>
    </row>
    <row r="5" spans="1:9" x14ac:dyDescent="0.3">
      <c r="A5" s="1" t="s">
        <v>22</v>
      </c>
      <c r="B5" s="2">
        <v>2</v>
      </c>
      <c r="C5" s="2">
        <v>2</v>
      </c>
      <c r="D5" s="2">
        <v>1</v>
      </c>
      <c r="F5" s="2">
        <v>30</v>
      </c>
      <c r="G5" s="2">
        <f>C16</f>
        <v>15</v>
      </c>
      <c r="H5" s="10">
        <f>D16</f>
        <v>15</v>
      </c>
      <c r="I5" s="11">
        <v>0</v>
      </c>
    </row>
    <row r="6" spans="1:9" x14ac:dyDescent="0.3">
      <c r="A6" t="s">
        <v>23</v>
      </c>
      <c r="B6" s="2">
        <v>3</v>
      </c>
      <c r="C6" s="2">
        <v>2</v>
      </c>
      <c r="D6" s="2">
        <v>1</v>
      </c>
    </row>
    <row r="7" spans="1:9" x14ac:dyDescent="0.3">
      <c r="A7" s="1" t="s">
        <v>24</v>
      </c>
      <c r="B7" s="2">
        <v>3</v>
      </c>
      <c r="C7" s="2">
        <v>1</v>
      </c>
      <c r="D7" s="2">
        <v>2</v>
      </c>
    </row>
    <row r="8" spans="1:9" x14ac:dyDescent="0.3">
      <c r="A8" s="4" t="s">
        <v>11</v>
      </c>
      <c r="B8" s="2">
        <v>2</v>
      </c>
      <c r="C8" s="2">
        <v>2</v>
      </c>
      <c r="D8" s="2">
        <v>0</v>
      </c>
    </row>
    <row r="9" spans="1:9" x14ac:dyDescent="0.3">
      <c r="A9" t="s">
        <v>25</v>
      </c>
      <c r="B9" s="2">
        <v>2</v>
      </c>
      <c r="C9" s="2">
        <v>2</v>
      </c>
      <c r="D9" s="2">
        <v>3</v>
      </c>
    </row>
    <row r="10" spans="1:9" x14ac:dyDescent="0.3">
      <c r="A10" s="5" t="s">
        <v>26</v>
      </c>
      <c r="B10" s="2">
        <v>3</v>
      </c>
      <c r="C10" s="2">
        <v>1</v>
      </c>
      <c r="D10" s="2">
        <v>1</v>
      </c>
    </row>
    <row r="11" spans="1:9" x14ac:dyDescent="0.3">
      <c r="A11" s="1" t="s">
        <v>27</v>
      </c>
      <c r="B11" s="2">
        <v>4</v>
      </c>
      <c r="C11" s="2">
        <v>2</v>
      </c>
      <c r="D11" s="2">
        <v>2</v>
      </c>
    </row>
    <row r="12" spans="1:9" x14ac:dyDescent="0.3">
      <c r="A12" s="15" t="s">
        <v>28</v>
      </c>
      <c r="B12" s="2">
        <v>4</v>
      </c>
      <c r="C12" s="2">
        <v>1</v>
      </c>
      <c r="D12" s="2">
        <v>3</v>
      </c>
    </row>
    <row r="13" spans="1:9" x14ac:dyDescent="0.3">
      <c r="A13" t="s">
        <v>29</v>
      </c>
      <c r="B13" s="2">
        <v>5</v>
      </c>
      <c r="C13" s="2">
        <v>0</v>
      </c>
      <c r="D13" s="2">
        <v>0</v>
      </c>
    </row>
    <row r="14" spans="1:9" x14ac:dyDescent="0.3">
      <c r="A14" s="1" t="s">
        <v>30</v>
      </c>
      <c r="B14" s="2" t="s">
        <v>32</v>
      </c>
      <c r="C14" s="2">
        <v>2</v>
      </c>
      <c r="D14" s="2">
        <v>1</v>
      </c>
    </row>
    <row r="15" spans="1:9" x14ac:dyDescent="0.3">
      <c r="A15" s="5" t="s">
        <v>31</v>
      </c>
      <c r="B15" s="2">
        <v>6</v>
      </c>
      <c r="C15" s="2">
        <v>0</v>
      </c>
      <c r="D15" s="2">
        <v>1</v>
      </c>
    </row>
    <row r="16" spans="1:9" x14ac:dyDescent="0.3">
      <c r="A16" s="16" t="s">
        <v>14</v>
      </c>
      <c r="B16" s="17" t="s">
        <v>15</v>
      </c>
      <c r="C16" s="17">
        <f>SUM(C5:C15)</f>
        <v>15</v>
      </c>
      <c r="D16" s="17">
        <f>SUM(D5:D15)</f>
        <v>15</v>
      </c>
    </row>
    <row r="17" spans="1:9" x14ac:dyDescent="0.3">
      <c r="A17" s="12"/>
      <c r="B17" s="13"/>
      <c r="C17" s="13"/>
      <c r="D17" s="13"/>
    </row>
    <row r="19" spans="1:9" x14ac:dyDescent="0.3">
      <c r="A19" s="7" t="s">
        <v>21</v>
      </c>
    </row>
    <row r="20" spans="1:9" x14ac:dyDescent="0.3">
      <c r="A20" s="14" t="s">
        <v>1</v>
      </c>
      <c r="B20" s="14" t="s">
        <v>2</v>
      </c>
      <c r="C20" s="14" t="s">
        <v>3</v>
      </c>
      <c r="D20" s="14" t="s">
        <v>4</v>
      </c>
      <c r="F20" s="6" t="s">
        <v>5</v>
      </c>
      <c r="G20" s="6" t="s">
        <v>6</v>
      </c>
      <c r="H20" s="6" t="s">
        <v>7</v>
      </c>
      <c r="I20" s="6" t="s">
        <v>18</v>
      </c>
    </row>
    <row r="21" spans="1:9" x14ac:dyDescent="0.3">
      <c r="A21" s="1" t="s">
        <v>22</v>
      </c>
      <c r="B21" s="2">
        <v>2</v>
      </c>
      <c r="C21" s="2">
        <v>2</v>
      </c>
      <c r="D21" s="2">
        <v>1</v>
      </c>
      <c r="F21" s="2">
        <v>30</v>
      </c>
      <c r="G21" s="2">
        <f>C32</f>
        <v>14</v>
      </c>
      <c r="H21" s="10">
        <f>D32</f>
        <v>16</v>
      </c>
      <c r="I21" s="11">
        <v>0</v>
      </c>
    </row>
    <row r="22" spans="1:9" x14ac:dyDescent="0.3">
      <c r="A22" t="s">
        <v>23</v>
      </c>
      <c r="B22" s="2">
        <v>3</v>
      </c>
      <c r="C22" s="2">
        <v>1</v>
      </c>
      <c r="D22" s="2">
        <v>2</v>
      </c>
    </row>
    <row r="23" spans="1:9" x14ac:dyDescent="0.3">
      <c r="A23" s="1" t="s">
        <v>24</v>
      </c>
      <c r="B23" s="2">
        <v>3</v>
      </c>
      <c r="C23" s="2">
        <v>1</v>
      </c>
      <c r="D23" s="2">
        <v>2</v>
      </c>
    </row>
    <row r="24" spans="1:9" x14ac:dyDescent="0.3">
      <c r="A24" s="4" t="s">
        <v>11</v>
      </c>
      <c r="B24" s="2">
        <v>2</v>
      </c>
      <c r="C24" s="2">
        <v>2</v>
      </c>
      <c r="D24" s="2">
        <v>0</v>
      </c>
    </row>
    <row r="25" spans="1:9" x14ac:dyDescent="0.3">
      <c r="A25" t="s">
        <v>25</v>
      </c>
      <c r="B25" s="2">
        <v>2</v>
      </c>
      <c r="C25" s="2">
        <v>2</v>
      </c>
      <c r="D25" s="2">
        <v>2</v>
      </c>
    </row>
    <row r="26" spans="1:9" x14ac:dyDescent="0.3">
      <c r="A26" s="5" t="s">
        <v>26</v>
      </c>
      <c r="B26" s="2">
        <v>3</v>
      </c>
      <c r="C26" s="2">
        <v>1</v>
      </c>
      <c r="D26" s="2">
        <v>1</v>
      </c>
    </row>
    <row r="27" spans="1:9" x14ac:dyDescent="0.3">
      <c r="A27" s="1" t="s">
        <v>27</v>
      </c>
      <c r="B27" s="2">
        <v>4</v>
      </c>
      <c r="C27" s="2">
        <v>1</v>
      </c>
      <c r="D27" s="2">
        <v>2</v>
      </c>
    </row>
    <row r="28" spans="1:9" x14ac:dyDescent="0.3">
      <c r="A28" s="15" t="s">
        <v>28</v>
      </c>
      <c r="B28" s="2">
        <v>4</v>
      </c>
      <c r="C28" s="2">
        <v>1</v>
      </c>
      <c r="D28" s="2">
        <v>2</v>
      </c>
    </row>
    <row r="29" spans="1:9" x14ac:dyDescent="0.3">
      <c r="A29" t="s">
        <v>29</v>
      </c>
      <c r="B29" s="2">
        <v>5</v>
      </c>
      <c r="C29" s="2">
        <v>1</v>
      </c>
      <c r="D29" s="2">
        <v>1</v>
      </c>
    </row>
    <row r="30" spans="1:9" x14ac:dyDescent="0.3">
      <c r="A30" s="1" t="s">
        <v>30</v>
      </c>
      <c r="B30" s="2" t="s">
        <v>32</v>
      </c>
      <c r="C30" s="2">
        <v>2</v>
      </c>
      <c r="D30" s="2">
        <v>1</v>
      </c>
    </row>
    <row r="31" spans="1:9" x14ac:dyDescent="0.3">
      <c r="A31" s="5" t="s">
        <v>31</v>
      </c>
      <c r="B31" s="2">
        <v>6</v>
      </c>
      <c r="C31" s="2">
        <v>0</v>
      </c>
      <c r="D31" s="2">
        <v>2</v>
      </c>
    </row>
    <row r="32" spans="1:9" x14ac:dyDescent="0.3">
      <c r="A32" s="16" t="s">
        <v>14</v>
      </c>
      <c r="B32" s="17" t="s">
        <v>15</v>
      </c>
      <c r="C32" s="17">
        <f>SUM(C21:C31)</f>
        <v>14</v>
      </c>
      <c r="D32" s="17">
        <f>SUM(D21:D31)</f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GEOVANNY PEREIRA MONTALVAN</dc:creator>
  <cp:lastModifiedBy>EDWIN GEOVANNY PEREIRA MONTALVAN</cp:lastModifiedBy>
  <dcterms:created xsi:type="dcterms:W3CDTF">2025-02-04T02:36:40Z</dcterms:created>
  <dcterms:modified xsi:type="dcterms:W3CDTF">2025-02-04T05:04:34Z</dcterms:modified>
</cp:coreProperties>
</file>